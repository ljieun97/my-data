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4B730A0-197E-459F-B9AB-43020956879F}" xr6:coauthVersionLast="47" xr6:coauthVersionMax="47" xr10:uidLastSave="{00000000-0000-0000-0000-000000000000}"/>
  <bookViews>
    <workbookView xWindow="-27540" yWindow="3135" windowWidth="27315" windowHeight="17370" xr2:uid="{00000000-000D-0000-FFFF-FFFF00000000}"/>
  </bookViews>
  <sheets>
    <sheet name="영화목록" sheetId="1" r:id="rId1"/>
    <sheet name="감상기록" sheetId="2" r:id="rId2"/>
    <sheet name="통계" sheetId="3" r:id="rId3"/>
    <sheet name="조회정보" sheetId="4" r:id="rId4"/>
    <sheet name="_목록값" sheetId="5" state="veryHidden" r:id="rId5"/>
  </sheets>
  <definedNames>
    <definedName name="RatingOptions">_목록값!$B$1:$B$10</definedName>
    <definedName name="RatingScores">_목록값!$C$1:$C$10</definedName>
    <definedName name="SelectionOptions">_목록값!$A$1:$A$2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G12" i="3"/>
  <c r="G11" i="3"/>
  <c r="G10" i="3"/>
  <c r="G9" i="3"/>
  <c r="G8" i="3"/>
  <c r="G7" i="3"/>
  <c r="G6" i="3"/>
  <c r="J5" i="3"/>
  <c r="J6" i="3" s="1"/>
  <c r="G5" i="3"/>
  <c r="N7" i="1"/>
  <c r="N6" i="1"/>
  <c r="N5" i="1"/>
  <c r="A6" i="2" s="1"/>
  <c r="C6" i="2" l="1"/>
  <c r="B6" i="2"/>
  <c r="G6" i="2"/>
  <c r="I6" i="2"/>
  <c r="H6" i="2"/>
  <c r="F6" i="2"/>
  <c r="L6" i="2"/>
  <c r="K6" i="2"/>
  <c r="J6" i="2"/>
  <c r="E6" i="2"/>
  <c r="D6" i="2"/>
  <c r="A7" i="2"/>
  <c r="A5" i="2"/>
  <c r="L7" i="2" l="1"/>
  <c r="K7" i="2"/>
  <c r="J7" i="2"/>
  <c r="I7" i="2"/>
  <c r="H7" i="2"/>
  <c r="G7" i="2"/>
  <c r="F7" i="2"/>
  <c r="E7" i="2"/>
  <c r="D7" i="2"/>
  <c r="C7" i="2"/>
  <c r="B7" i="2"/>
  <c r="L5" i="2"/>
  <c r="K5" i="2"/>
  <c r="J7" i="3"/>
  <c r="J5" i="2"/>
  <c r="I5" i="2"/>
  <c r="H5" i="2"/>
  <c r="D5" i="2"/>
  <c r="J4" i="3"/>
  <c r="G5" i="2"/>
  <c r="F5" i="2"/>
  <c r="E5" i="2"/>
  <c r="C5" i="2"/>
  <c r="B5" i="2"/>
  <c r="C8" i="3" l="1"/>
  <c r="D8" i="3" s="1"/>
  <c r="B8" i="3"/>
  <c r="B5" i="3"/>
  <c r="C13" i="3"/>
  <c r="D13" i="3" s="1"/>
  <c r="B13" i="3"/>
  <c r="C12" i="3"/>
  <c r="D12" i="3" s="1"/>
  <c r="C7" i="3"/>
  <c r="D7" i="3" s="1"/>
  <c r="B7" i="3"/>
  <c r="B12" i="3"/>
  <c r="C11" i="3"/>
  <c r="D11" i="3" s="1"/>
  <c r="B11" i="3"/>
  <c r="C5" i="3"/>
  <c r="D5" i="3" s="1"/>
  <c r="B9" i="3"/>
  <c r="C6" i="3"/>
  <c r="D6" i="3" s="1"/>
  <c r="B6" i="3"/>
  <c r="C9" i="3"/>
  <c r="D9" i="3" s="1"/>
  <c r="C10" i="3"/>
  <c r="D10" i="3" s="1"/>
  <c r="B10" i="3"/>
</calcChain>
</file>

<file path=xl/sharedStrings.xml><?xml version="1.0" encoding="utf-8"?>
<sst xmlns="http://schemas.openxmlformats.org/spreadsheetml/2006/main" count="117" uniqueCount="74">
  <si>
    <t>2025년 TMDB 영화 3편</t>
  </si>
  <si>
    <t>투표 수 1개 이상 · 상영시간 40분 이상 · 한국어 줄거리 있음 · 성인물 제외 · 인기도 내림차순</t>
  </si>
  <si>
    <t>선택</t>
  </si>
  <si>
    <t>TMDB ID</t>
  </si>
  <si>
    <t>한국어 제목</t>
  </si>
  <si>
    <t>원제</t>
  </si>
  <si>
    <t>개봉일</t>
  </si>
  <si>
    <t>장르</t>
  </si>
  <si>
    <t>제작 국가</t>
  </si>
  <si>
    <t>제작사</t>
  </si>
  <si>
    <t>감독</t>
  </si>
  <si>
    <t>배우 전체</t>
  </si>
  <si>
    <t>원어</t>
  </si>
  <si>
    <t>한국어 줄거리</t>
  </si>
  <si>
    <t>상영시간(분)</t>
  </si>
  <si>
    <t>_선택번호</t>
  </si>
  <si>
    <t>미선택</t>
  </si>
  <si>
    <t>샘플 영화 1001</t>
  </si>
  <si>
    <t>Sample 1001</t>
  </si>
  <si>
    <t>드라마</t>
  </si>
  <si>
    <t>미국</t>
  </si>
  <si>
    <t>Sample Studio</t>
  </si>
  <si>
    <t>Sample Director</t>
  </si>
  <si>
    <t>배우 A, 배우 B</t>
  </si>
  <si>
    <t>en</t>
  </si>
  <si>
    <t>검증용 영화 줄거리입니다.</t>
  </si>
  <si>
    <t>샘플 영화 1002</t>
  </si>
  <si>
    <t>Sample 1002</t>
  </si>
  <si>
    <t>샘플 영화 1003</t>
  </si>
  <si>
    <t>Sample 1003</t>
  </si>
  <si>
    <t>감상기록</t>
  </si>
  <si>
    <t>영화목록에서 '선택'하면 TMDB ID와 영화 정보가 자동으로 표시됩니다. 내 별점은 목록에서 선택하고 감상평을 입력하세요.</t>
  </si>
  <si>
    <t>내 별점</t>
  </si>
  <si>
    <t>감상평</t>
  </si>
  <si>
    <t>감상기록 통계</t>
  </si>
  <si>
    <t>감상기록 시트를 기준으로 개봉연도별 감상 편수와 별점을 집계합니다. 별점이 없는 영화도 감상 편수에는 포함됩니다.</t>
  </si>
  <si>
    <t>개봉연도</t>
  </si>
  <si>
    <t>감상 영화 수</t>
  </si>
  <si>
    <t>별점 입력 수</t>
  </si>
  <si>
    <t>평균 별점</t>
  </si>
  <si>
    <t>별점</t>
  </si>
  <si>
    <t>영화 수</t>
  </si>
  <si>
    <t>전체 감상 영화</t>
  </si>
  <si>
    <t>☆</t>
  </si>
  <si>
    <t>별점 입력 영화</t>
  </si>
  <si>
    <t>★</t>
  </si>
  <si>
    <t>전체 평균 별점</t>
  </si>
  <si>
    <t>★☆</t>
  </si>
  <si>
    <t>개봉일 미등록</t>
  </si>
  <si>
    <t>★★</t>
  </si>
  <si>
    <t>★★☆</t>
  </si>
  <si>
    <t>★★★</t>
  </si>
  <si>
    <t>★★★☆</t>
  </si>
  <si>
    <t>★★★★</t>
  </si>
  <si>
    <t>★★★★☆</t>
  </si>
  <si>
    <t>★★★★★</t>
  </si>
  <si>
    <t>조회 정보</t>
  </si>
  <si>
    <t>항목</t>
  </si>
  <si>
    <t>값</t>
  </si>
  <si>
    <t>출처</t>
  </si>
  <si>
    <t>TMDB API</t>
  </si>
  <si>
    <t>대상 연도</t>
  </si>
  <si>
    <t>정렬</t>
  </si>
  <si>
    <t>인기도 내림차순</t>
  </si>
  <si>
    <t>투표 수 조건</t>
  </si>
  <si>
    <t>1개 이상 (투표 0개 제외)</t>
  </si>
  <si>
    <t>언어</t>
  </si>
  <si>
    <t>한국어 (ko-KR)</t>
  </si>
  <si>
    <t>상영시간 조건</t>
  </si>
  <si>
    <t>40분 이상 (미등록 제외)</t>
  </si>
  <si>
    <t>줄거리 조건</t>
  </si>
  <si>
    <t>한국어(ko-KR) 줄거리가 있는 영화만 포함</t>
  </si>
  <si>
    <t>조회 시각</t>
  </si>
  <si>
    <t>선택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</si>
</sst>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&quot;년&quot;"/>
    <numFmt numFmtId="178" formatCode="0&quot;편&quot;"/>
    <numFmt numFmtId="179" formatCode="0.0"/>
    <numFmt numFmtId="180" formatCode="yyyy\-mm\-dd\ hh:mm"/>
  </numFmts>
  <fonts count="6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sz val="11"/>
      <color rgb="FF4B5563"/>
      <name val="맑은 고딕"/>
      <family val="3"/>
      <charset val="129"/>
    </font>
    <font>
      <b/>
      <sz val="15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B5563"/>
      </patternFill>
    </fill>
    <fill>
      <patternFill patternType="solid">
        <fgColor rgb="FF6B72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0" fillId="0" borderId="1" xfId="0" applyBorder="1"/>
    <xf numFmtId="176" fontId="0" fillId="0" borderId="1" xfId="0" applyNumberFormat="1" applyBorder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77" fontId="0" fillId="0" borderId="1" xfId="0" applyNumberFormat="1" applyBorder="1"/>
    <xf numFmtId="178" fontId="0" fillId="0" borderId="1" xfId="0" applyNumberFormat="1" applyBorder="1"/>
    <xf numFmtId="179" fontId="0" fillId="0" borderId="1" xfId="0" applyNumberFormat="1" applyBorder="1"/>
    <xf numFmtId="0" fontId="4" fillId="3" borderId="0" xfId="0" applyFont="1" applyFill="1"/>
    <xf numFmtId="0" fontId="4" fillId="3" borderId="1" xfId="0" applyFont="1" applyFill="1" applyBorder="1"/>
    <xf numFmtId="180" fontId="0" fillId="0" borderId="1" xfId="0" applyNumberFormat="1" applyBorder="1"/>
    <xf numFmtId="176" fontId="1" fillId="2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vertical="center"/>
    </xf>
    <xf numFmtId="176" fontId="1" fillId="2" borderId="0" xfId="0" applyNumberFormat="1" applyFont="1" applyFill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179" fontId="3" fillId="0" borderId="0" xfId="0" applyNumberFormat="1" applyFont="1"/>
    <xf numFmtId="178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표준" xfId="0" builtinId="0"/>
  </cellStyles>
  <dxfs count="1">
    <dxf>
      <fill>
        <patternFill patternType="solid">
          <fgColor rgb="FFE5E7EB"/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mdbMovieExport" displayName="TmdbMovieExport" ref="A4:N7">
  <autoFilter ref="A4:N7" xr:uid="{00000000-0009-0000-0100-000001000000}"/>
  <tableColumns count="14">
    <tableColumn id="1" xr3:uid="{00000000-0010-0000-0000-000001000000}" name="선택" totalsRowLabel="Total"/>
    <tableColumn id="2" xr3:uid="{00000000-0010-0000-0000-000002000000}" name="TMDB ID"/>
    <tableColumn id="3" xr3:uid="{00000000-0010-0000-0000-000003000000}" name="한국어 제목"/>
    <tableColumn id="4" xr3:uid="{00000000-0010-0000-0000-000004000000}" name="원제"/>
    <tableColumn id="5" xr3:uid="{00000000-0010-0000-0000-000005000000}" name="개봉일"/>
    <tableColumn id="6" xr3:uid="{00000000-0010-0000-0000-000006000000}" name="장르"/>
    <tableColumn id="7" xr3:uid="{00000000-0010-0000-0000-000007000000}" name="제작 국가"/>
    <tableColumn id="8" xr3:uid="{00000000-0010-0000-0000-000008000000}" name="제작사"/>
    <tableColumn id="9" xr3:uid="{00000000-0010-0000-0000-000009000000}" name="감독"/>
    <tableColumn id="10" xr3:uid="{00000000-0010-0000-0000-00000A000000}" name="배우 전체"/>
    <tableColumn id="11" xr3:uid="{00000000-0010-0000-0000-00000B000000}" name="원어"/>
    <tableColumn id="12" xr3:uid="{00000000-0010-0000-0000-00000C000000}" name="한국어 줄거리"/>
    <tableColumn id="13" xr3:uid="{00000000-0010-0000-0000-00000D000000}" name="상영시간(분)"/>
    <tableColumn id="14" xr3:uid="{00000000-0010-0000-0000-00000E000000}" name="_선택번호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vieReviews" displayName="MovieReviews" ref="A4:N7">
  <autoFilter ref="A4:N7" xr:uid="{00000000-0009-0000-0100-000002000000}"/>
  <tableColumns count="14">
    <tableColumn id="1" xr3:uid="{00000000-0010-0000-0100-000001000000}" name="TMDB ID" totalsRowLabel="Total"/>
    <tableColumn id="2" xr3:uid="{00000000-0010-0000-0100-000002000000}" name="한국어 제목"/>
    <tableColumn id="3" xr3:uid="{00000000-0010-0000-0100-000003000000}" name="원제"/>
    <tableColumn id="4" xr3:uid="{00000000-0010-0000-0100-000004000000}" name="개봉일"/>
    <tableColumn id="5" xr3:uid="{00000000-0010-0000-0100-000005000000}" name="장르"/>
    <tableColumn id="6" xr3:uid="{00000000-0010-0000-0100-000006000000}" name="제작 국가"/>
    <tableColumn id="7" xr3:uid="{00000000-0010-0000-0100-000007000000}" name="제작사"/>
    <tableColumn id="8" xr3:uid="{00000000-0010-0000-0100-000008000000}" name="감독"/>
    <tableColumn id="9" xr3:uid="{00000000-0010-0000-0100-000009000000}" name="배우 전체"/>
    <tableColumn id="10" xr3:uid="{00000000-0010-0000-0100-00000A000000}" name="원어"/>
    <tableColumn id="11" xr3:uid="{00000000-0010-0000-0100-00000B000000}" name="한국어 줄거리"/>
    <tableColumn id="12" xr3:uid="{00000000-0010-0000-0100-00000C000000}" name="상영시간(분)"/>
    <tableColumn id="13" xr3:uid="{00000000-0010-0000-0100-00000D000000}" name="내 별점"/>
    <tableColumn id="14" xr3:uid="{00000000-0010-0000-0100-00000E000000}" name="감상평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vieViewingStatistics" displayName="MovieViewingStatistics" ref="A4:D13">
  <autoFilter ref="A4:D13" xr:uid="{00000000-0009-0000-0100-000003000000}"/>
  <tableColumns count="4">
    <tableColumn id="1" xr3:uid="{00000000-0010-0000-0200-000001000000}" name="개봉연도" totalsRowLabel="Total"/>
    <tableColumn id="2" xr3:uid="{00000000-0010-0000-0200-000002000000}" name="감상 영화 수"/>
    <tableColumn id="3" xr3:uid="{00000000-0010-0000-0200-000003000000}" name="별점 입력 수"/>
    <tableColumn id="4" xr3:uid="{00000000-0010-0000-0200-000004000000}" name="평균 별점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vieRatingDistribution" displayName="MovieRatingDistribution" ref="F4:G14">
  <autoFilter ref="F4:G14" xr:uid="{00000000-0009-0000-0100-000004000000}">
    <filterColumn colId="0" hiddenButton="1"/>
    <filterColumn colId="1" hiddenButton="1"/>
  </autoFilter>
  <tableColumns count="2">
    <tableColumn id="1" xr3:uid="{00000000-0010-0000-0300-000001000000}" name="별점" totalsRowLabel="Total"/>
    <tableColumn id="2" xr3:uid="{00000000-0010-0000-0300-000002000000}" name="영화 수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20.100000000000001" customHeight="1" x14ac:dyDescent="0.3"/>
  <cols>
    <col min="1" max="1" width="8" customWidth="1"/>
    <col min="2" max="2" width="12" customWidth="1"/>
    <col min="3" max="4" width="28" customWidth="1"/>
    <col min="5" max="5" width="13" style="1" customWidth="1"/>
    <col min="6" max="6" width="22" customWidth="1"/>
    <col min="7" max="7" width="18" customWidth="1"/>
    <col min="8" max="8" width="32" customWidth="1"/>
    <col min="9" max="9" width="22" customWidth="1"/>
    <col min="10" max="10" width="58" customWidth="1"/>
    <col min="12" max="12" width="60" customWidth="1"/>
    <col min="13" max="13" width="16" customWidth="1"/>
    <col min="14" max="14" width="10" hidden="1" customWidth="1"/>
  </cols>
  <sheetData>
    <row r="1" spans="1:14" ht="30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4" ht="16.5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spans="1:14" s="2" customFormat="1" ht="27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2" t="s">
        <v>15</v>
      </c>
    </row>
    <row r="5" spans="1:14" s="5" customFormat="1" ht="42" customHeight="1" x14ac:dyDescent="0.3">
      <c r="A5" s="6" t="s">
        <v>73</v>
      </c>
      <c r="B5" s="6">
        <v>1001</v>
      </c>
      <c r="C5" s="6" t="s">
        <v>17</v>
      </c>
      <c r="D5" s="6" t="s">
        <v>18</v>
      </c>
      <c r="E5" s="7">
        <v>45658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>
        <v>120</v>
      </c>
      <c r="N5" s="5">
        <f>IF(A5="선택",COUNTIF($A$5:A5,"선택"),"")</f>
        <v>1</v>
      </c>
    </row>
    <row r="6" spans="1:14" s="5" customFormat="1" ht="42" customHeight="1" x14ac:dyDescent="0.3">
      <c r="A6" s="6" t="s">
        <v>73</v>
      </c>
      <c r="B6" s="6">
        <v>1002</v>
      </c>
      <c r="C6" s="6" t="s">
        <v>26</v>
      </c>
      <c r="D6" s="6" t="s">
        <v>27</v>
      </c>
      <c r="E6" s="7">
        <v>45657</v>
      </c>
      <c r="F6" s="6" t="s">
        <v>19</v>
      </c>
      <c r="G6" s="6" t="s">
        <v>20</v>
      </c>
      <c r="H6" s="6" t="s">
        <v>21</v>
      </c>
      <c r="I6" s="6" t="s">
        <v>22</v>
      </c>
      <c r="J6" s="6" t="s">
        <v>23</v>
      </c>
      <c r="K6" s="6" t="s">
        <v>24</v>
      </c>
      <c r="L6" s="6" t="s">
        <v>25</v>
      </c>
      <c r="M6" s="6">
        <v>120</v>
      </c>
      <c r="N6" s="5">
        <f>IF(A6="선택",COUNTIF($A$5:A6,"선택"),"")</f>
        <v>2</v>
      </c>
    </row>
    <row r="7" spans="1:14" s="5" customFormat="1" ht="42" customHeight="1" x14ac:dyDescent="0.3">
      <c r="A7" s="6" t="s">
        <v>73</v>
      </c>
      <c r="B7" s="6">
        <v>1003</v>
      </c>
      <c r="C7" s="6" t="s">
        <v>28</v>
      </c>
      <c r="D7" s="6" t="s">
        <v>29</v>
      </c>
      <c r="E7" s="7">
        <v>46022</v>
      </c>
      <c r="F7" s="6" t="s">
        <v>19</v>
      </c>
      <c r="G7" s="6" t="s">
        <v>20</v>
      </c>
      <c r="H7" s="6" t="s">
        <v>21</v>
      </c>
      <c r="I7" s="6" t="s">
        <v>22</v>
      </c>
      <c r="J7" s="6" t="s">
        <v>23</v>
      </c>
      <c r="K7" s="6" t="s">
        <v>24</v>
      </c>
      <c r="L7" s="6" t="s">
        <v>25</v>
      </c>
      <c r="M7" s="6">
        <v>120</v>
      </c>
      <c r="N7" s="5">
        <f>IF(A7="선택",COUNTIF($A$5:A7,"선택"),"")</f>
        <v>3</v>
      </c>
    </row>
  </sheetData>
  <mergeCells count="2">
    <mergeCell ref="A1:M1"/>
    <mergeCell ref="A2:M2"/>
  </mergeCells>
  <phoneticPr fontId="5" type="noConversion"/>
  <conditionalFormatting sqref="A5:M7">
    <cfRule type="expression" dxfId="0" priority="1">
      <formula>$A5="선택"</formula>
    </cfRule>
  </conditionalFormatting>
  <dataValidations count="1">
    <dataValidation type="list" allowBlank="1" showErrorMessage="1" errorTitle="선택 값 확인" error="목록에서 '미선택' 또는 '선택'을 골라 주세요." sqref="A5:A7" xr:uid="{00000000-0002-0000-0000-000000000000}">
      <formula1>SelectionOptions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20.100000000000001" customHeight="1" x14ac:dyDescent="0.3"/>
  <cols>
    <col min="1" max="1" width="14" customWidth="1"/>
    <col min="2" max="3" width="28" customWidth="1"/>
    <col min="4" max="4" width="13" style="1" customWidth="1"/>
    <col min="5" max="5" width="22" customWidth="1"/>
    <col min="6" max="6" width="18" customWidth="1"/>
    <col min="7" max="7" width="32" customWidth="1"/>
    <col min="8" max="8" width="22" customWidth="1"/>
    <col min="9" max="9" width="58" customWidth="1"/>
    <col min="11" max="11" width="60" style="5" customWidth="1"/>
    <col min="12" max="12" width="16" customWidth="1"/>
    <col min="13" max="13" width="11" customWidth="1"/>
    <col min="14" max="14" width="70" style="5" customWidth="1"/>
  </cols>
  <sheetData>
    <row r="1" spans="1:14" ht="30" customHeight="1" x14ac:dyDescent="0.3">
      <c r="A1" s="21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3.950000000000003" customHeight="1" x14ac:dyDescent="0.3">
      <c r="A2" s="22" t="s">
        <v>31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27.95" customHeight="1" x14ac:dyDescent="0.3">
      <c r="A4" s="8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6" t="s">
        <v>13</v>
      </c>
      <c r="L4" s="8" t="s">
        <v>14</v>
      </c>
      <c r="M4" s="8" t="s">
        <v>32</v>
      </c>
      <c r="N4" s="6" t="s">
        <v>33</v>
      </c>
    </row>
    <row r="5" spans="1:14" ht="16.5" x14ac:dyDescent="0.3">
      <c r="A5" s="8">
        <f>IFERROR(INDEX(영화목록!$B$5:$B$7,MATCH(ROWS($A$5:A5),영화목록!$N$5:$N$7,0)),"")</f>
        <v>1001</v>
      </c>
      <c r="B5" s="8" t="str">
        <f>IF(A5="","",IFERROR(INDEX(영화목록!$C$5:$C$7,MATCH(A5,영화목록!$B$5:$B$7,0)),""))</f>
        <v>샘플 영화 1001</v>
      </c>
      <c r="C5" s="8" t="str">
        <f>IF(A5="","",IFERROR(INDEX(영화목록!$D$5:$D$7,MATCH(A5,영화목록!$B$5:$B$7,0)),""))</f>
        <v>Sample 1001</v>
      </c>
      <c r="D5" s="9">
        <f>IF(A5="","",IFERROR(INDEX(영화목록!$E$5:$E$7,MATCH(A5,영화목록!$B$5:$B$7,0)),""))</f>
        <v>45658</v>
      </c>
      <c r="E5" s="8" t="str">
        <f>IF(A5="","",IFERROR(INDEX(영화목록!$F$5:$F$7,MATCH(A5,영화목록!$B$5:$B$7,0)),""))</f>
        <v>드라마</v>
      </c>
      <c r="F5" s="8" t="str">
        <f>IF(A5="","",IFERROR(INDEX(영화목록!$G$5:$G$7,MATCH(A5,영화목록!$B$5:$B$7,0)),""))</f>
        <v>미국</v>
      </c>
      <c r="G5" s="8" t="str">
        <f>IF(A5="","",IFERROR(INDEX(영화목록!$H$5:$H$7,MATCH(A5,영화목록!$B$5:$B$7,0)),""))</f>
        <v>Sample Studio</v>
      </c>
      <c r="H5" s="8" t="str">
        <f>IF(A5="","",IFERROR(INDEX(영화목록!$I$5:$I$7,MATCH(A5,영화목록!$B$5:$B$7,0)),""))</f>
        <v>Sample Director</v>
      </c>
      <c r="I5" s="8" t="str">
        <f>IF(A5="","",IFERROR(INDEX(영화목록!$J$5:$J$7,MATCH(A5,영화목록!$B$5:$B$7,0)),""))</f>
        <v>배우 A, 배우 B</v>
      </c>
      <c r="J5" s="8" t="str">
        <f>IF(A5="","",IFERROR(INDEX(영화목록!$K$5:$K$7,MATCH(A5,영화목록!$B$5:$B$7,0)),""))</f>
        <v>en</v>
      </c>
      <c r="K5" s="6" t="str">
        <f>IF(A5="","",IFERROR(INDEX(영화목록!$L$5:$L$7,MATCH(A5,영화목록!$B$5:$B$7,0)),""))</f>
        <v>검증용 영화 줄거리입니다.</v>
      </c>
      <c r="L5" s="8">
        <f>IF(A5="","",IFERROR(INDEX(영화목록!$M$5:$M$7,MATCH(A5,영화목록!$B$5:$B$7,0)),""))</f>
        <v>120</v>
      </c>
      <c r="M5" s="8" t="s">
        <v>43</v>
      </c>
      <c r="N5" s="6"/>
    </row>
    <row r="6" spans="1:14" ht="16.5" x14ac:dyDescent="0.3">
      <c r="A6" s="8">
        <f>IFERROR(INDEX(영화목록!$B$5:$B$7,MATCH(ROWS($A$5:A6),영화목록!$N$5:$N$7,0)),"")</f>
        <v>1002</v>
      </c>
      <c r="B6" s="8" t="str">
        <f>IF(A6="","",IFERROR(INDEX(영화목록!$C$5:$C$7,MATCH(A6,영화목록!$B$5:$B$7,0)),""))</f>
        <v>샘플 영화 1002</v>
      </c>
      <c r="C6" s="8" t="str">
        <f>IF(A6="","",IFERROR(INDEX(영화목록!$D$5:$D$7,MATCH(A6,영화목록!$B$5:$B$7,0)),""))</f>
        <v>Sample 1002</v>
      </c>
      <c r="D6" s="9">
        <f>IF(A6="","",IFERROR(INDEX(영화목록!$E$5:$E$7,MATCH(A6,영화목록!$B$5:$B$7,0)),""))</f>
        <v>45657</v>
      </c>
      <c r="E6" s="8" t="str">
        <f>IF(A6="","",IFERROR(INDEX(영화목록!$F$5:$F$7,MATCH(A6,영화목록!$B$5:$B$7,0)),""))</f>
        <v>드라마</v>
      </c>
      <c r="F6" s="8" t="str">
        <f>IF(A6="","",IFERROR(INDEX(영화목록!$G$5:$G$7,MATCH(A6,영화목록!$B$5:$B$7,0)),""))</f>
        <v>미국</v>
      </c>
      <c r="G6" s="8" t="str">
        <f>IF(A6="","",IFERROR(INDEX(영화목록!$H$5:$H$7,MATCH(A6,영화목록!$B$5:$B$7,0)),""))</f>
        <v>Sample Studio</v>
      </c>
      <c r="H6" s="8" t="str">
        <f>IF(A6="","",IFERROR(INDEX(영화목록!$I$5:$I$7,MATCH(A6,영화목록!$B$5:$B$7,0)),""))</f>
        <v>Sample Director</v>
      </c>
      <c r="I6" s="8" t="str">
        <f>IF(A6="","",IFERROR(INDEX(영화목록!$J$5:$J$7,MATCH(A6,영화목록!$B$5:$B$7,0)),""))</f>
        <v>배우 A, 배우 B</v>
      </c>
      <c r="J6" s="8" t="str">
        <f>IF(A6="","",IFERROR(INDEX(영화목록!$K$5:$K$7,MATCH(A6,영화목록!$B$5:$B$7,0)),""))</f>
        <v>en</v>
      </c>
      <c r="K6" s="6" t="str">
        <f>IF(A6="","",IFERROR(INDEX(영화목록!$L$5:$L$7,MATCH(A6,영화목록!$B$5:$B$7,0)),""))</f>
        <v>검증용 영화 줄거리입니다.</v>
      </c>
      <c r="L6" s="8">
        <f>IF(A6="","",IFERROR(INDEX(영화목록!$M$5:$M$7,MATCH(A6,영화목록!$B$5:$B$7,0)),""))</f>
        <v>120</v>
      </c>
      <c r="M6" s="8" t="s">
        <v>51</v>
      </c>
      <c r="N6" s="6"/>
    </row>
    <row r="7" spans="1:14" ht="16.5" x14ac:dyDescent="0.3">
      <c r="A7" s="8">
        <f>IFERROR(INDEX(영화목록!$B$5:$B$7,MATCH(ROWS($A$5:A7),영화목록!$N$5:$N$7,0)),"")</f>
        <v>1003</v>
      </c>
      <c r="B7" s="8" t="str">
        <f>IF(A7="","",IFERROR(INDEX(영화목록!$C$5:$C$7,MATCH(A7,영화목록!$B$5:$B$7,0)),""))</f>
        <v>샘플 영화 1003</v>
      </c>
      <c r="C7" s="8" t="str">
        <f>IF(A7="","",IFERROR(INDEX(영화목록!$D$5:$D$7,MATCH(A7,영화목록!$B$5:$B$7,0)),""))</f>
        <v>Sample 1003</v>
      </c>
      <c r="D7" s="9">
        <f>IF(A7="","",IFERROR(INDEX(영화목록!$E$5:$E$7,MATCH(A7,영화목록!$B$5:$B$7,0)),""))</f>
        <v>46022</v>
      </c>
      <c r="E7" s="8" t="str">
        <f>IF(A7="","",IFERROR(INDEX(영화목록!$F$5:$F$7,MATCH(A7,영화목록!$B$5:$B$7,0)),""))</f>
        <v>드라마</v>
      </c>
      <c r="F7" s="8" t="str">
        <f>IF(A7="","",IFERROR(INDEX(영화목록!$G$5:$G$7,MATCH(A7,영화목록!$B$5:$B$7,0)),""))</f>
        <v>미국</v>
      </c>
      <c r="G7" s="8" t="str">
        <f>IF(A7="","",IFERROR(INDEX(영화목록!$H$5:$H$7,MATCH(A7,영화목록!$B$5:$B$7,0)),""))</f>
        <v>Sample Studio</v>
      </c>
      <c r="H7" s="8" t="str">
        <f>IF(A7="","",IFERROR(INDEX(영화목록!$I$5:$I$7,MATCH(A7,영화목록!$B$5:$B$7,0)),""))</f>
        <v>Sample Director</v>
      </c>
      <c r="I7" s="8" t="str">
        <f>IF(A7="","",IFERROR(INDEX(영화목록!$J$5:$J$7,MATCH(A7,영화목록!$B$5:$B$7,0)),""))</f>
        <v>배우 A, 배우 B</v>
      </c>
      <c r="J7" s="8" t="str">
        <f>IF(A7="","",IFERROR(INDEX(영화목록!$K$5:$K$7,MATCH(A7,영화목록!$B$5:$B$7,0)),""))</f>
        <v>en</v>
      </c>
      <c r="K7" s="6" t="str">
        <f>IF(A7="","",IFERROR(INDEX(영화목록!$L$5:$L$7,MATCH(A7,영화목록!$B$5:$B$7,0)),""))</f>
        <v>검증용 영화 줄거리입니다.</v>
      </c>
      <c r="L7" s="8">
        <f>IF(A7="","",IFERROR(INDEX(영화목록!$M$5:$M$7,MATCH(A7,영화목록!$B$5:$B$7,0)),""))</f>
        <v>120</v>
      </c>
      <c r="M7" s="8" t="s">
        <v>55</v>
      </c>
      <c r="N7" s="6"/>
    </row>
  </sheetData>
  <mergeCells count="2">
    <mergeCell ref="A1:N1"/>
    <mergeCell ref="A2:N2"/>
  </mergeCells>
  <phoneticPr fontId="5" type="noConversion"/>
  <dataValidations count="1">
    <dataValidation type="list" allowBlank="1" showErrorMessage="1" errorTitle="별점 확인" error="목록에서 별점을 선택해 주세요." sqref="M5:M7" xr:uid="{00000000-0002-0000-0100-000000000000}">
      <formula1>RatingOptions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4" topLeftCell="A5" activePane="bottomLeft" state="frozen"/>
      <selection pane="bottomLeft" activeCell="A5" sqref="A5"/>
    </sheetView>
  </sheetViews>
  <sheetFormatPr defaultRowHeight="21.95" customHeight="1" x14ac:dyDescent="0.3"/>
  <cols>
    <col min="1" max="1" width="15" style="10" customWidth="1"/>
    <col min="2" max="3" width="17" style="11" customWidth="1"/>
    <col min="4" max="4" width="14" style="12" customWidth="1"/>
    <col min="5" max="5" width="3" customWidth="1"/>
    <col min="6" max="6" width="13" customWidth="1"/>
    <col min="7" max="7" width="14" style="11" customWidth="1"/>
    <col min="8" max="8" width="3" customWidth="1"/>
    <col min="9" max="9" width="18" customWidth="1"/>
    <col min="10" max="10" width="15" customWidth="1"/>
  </cols>
  <sheetData>
    <row r="1" spans="1:10" ht="30" customHeight="1" x14ac:dyDescent="0.45">
      <c r="A1" s="23" t="s">
        <v>34</v>
      </c>
      <c r="B1" s="23"/>
      <c r="C1" s="23"/>
      <c r="D1" s="23"/>
    </row>
    <row r="2" spans="1:10" ht="36" customHeight="1" x14ac:dyDescent="0.3">
      <c r="A2" s="24" t="s">
        <v>35</v>
      </c>
      <c r="B2" s="24"/>
      <c r="C2" s="24"/>
      <c r="D2" s="24"/>
      <c r="E2" s="24"/>
      <c r="F2" s="24"/>
      <c r="G2" s="24"/>
      <c r="H2" s="24"/>
      <c r="I2" s="24"/>
      <c r="J2" s="24"/>
    </row>
    <row r="4" spans="1:10" ht="27.95" customHeight="1" x14ac:dyDescent="0.3">
      <c r="A4" s="13" t="s">
        <v>36</v>
      </c>
      <c r="B4" s="14" t="s">
        <v>37</v>
      </c>
      <c r="C4" s="14" t="s">
        <v>38</v>
      </c>
      <c r="D4" s="15" t="s">
        <v>39</v>
      </c>
      <c r="F4" s="8" t="s">
        <v>40</v>
      </c>
      <c r="G4" s="14" t="s">
        <v>41</v>
      </c>
      <c r="I4" s="8" t="s">
        <v>42</v>
      </c>
      <c r="J4" s="14">
        <f>COUNTIF(MovieReviews[TMDB ID],"&gt;0")</f>
        <v>3</v>
      </c>
    </row>
    <row r="5" spans="1:10" ht="16.5" x14ac:dyDescent="0.3">
      <c r="A5" s="13">
        <v>2028</v>
      </c>
      <c r="B5" s="14">
        <f>COUNTIFS(MovieReviews[개봉일],"&gt;="&amp;DATE(A5,1,1),MovieReviews[개봉일],"&lt;"&amp;DATE(A5+1,1,1),MovieReviews[TMDB ID],"&gt;0")</f>
        <v>0</v>
      </c>
      <c r="C5" s="14">
        <f>COUNTIFS(MovieReviews[개봉일],"&gt;="&amp;DATE(A5,1,1),MovieReviews[개봉일],"&lt;"&amp;DATE(A5+1,1,1),MovieReviews[내 별점],"&lt;&gt;")</f>
        <v>0</v>
      </c>
      <c r="D5" s="15" t="str">
        <f>IF(C5=0,"",SUMPRODUCT(COUNTIFS(MovieReviews[개봉일],"&gt;="&amp;DATE(A5,1,1),MovieReviews[개봉일],"&lt;"&amp;DATE(A5+1,1,1),MovieReviews[내 별점],RatingOptions),RatingScores)/C5)</f>
        <v/>
      </c>
      <c r="F5" s="8" t="s">
        <v>43</v>
      </c>
      <c r="G5" s="14">
        <f>COUNTIF(MovieReviews[내 별점],F5)</f>
        <v>1</v>
      </c>
      <c r="I5" s="8" t="s">
        <v>44</v>
      </c>
      <c r="J5" s="14">
        <f>COUNTIF(MovieReviews[내 별점],"&lt;&gt;")</f>
        <v>3</v>
      </c>
    </row>
    <row r="6" spans="1:10" ht="16.5" x14ac:dyDescent="0.3">
      <c r="A6" s="13">
        <v>2027</v>
      </c>
      <c r="B6" s="14">
        <f>COUNTIFS(MovieReviews[개봉일],"&gt;="&amp;DATE(A6,1,1),MovieReviews[개봉일],"&lt;"&amp;DATE(A6+1,1,1),MovieReviews[TMDB ID],"&gt;0")</f>
        <v>0</v>
      </c>
      <c r="C6" s="14">
        <f>COUNTIFS(MovieReviews[개봉일],"&gt;="&amp;DATE(A6,1,1),MovieReviews[개봉일],"&lt;"&amp;DATE(A6+1,1,1),MovieReviews[내 별점],"&lt;&gt;")</f>
        <v>0</v>
      </c>
      <c r="D6" s="15" t="str">
        <f>IF(C6=0,"",SUMPRODUCT(COUNTIFS(MovieReviews[개봉일],"&gt;="&amp;DATE(A6,1,1),MovieReviews[개봉일],"&lt;"&amp;DATE(A6+1,1,1),MovieReviews[내 별점],RatingOptions),RatingScores)/C6)</f>
        <v/>
      </c>
      <c r="F6" s="8" t="s">
        <v>45</v>
      </c>
      <c r="G6" s="14">
        <f>COUNTIF(MovieReviews[내 별점],F6)</f>
        <v>0</v>
      </c>
      <c r="I6" s="8" t="s">
        <v>46</v>
      </c>
      <c r="J6" s="15">
        <f>IF(J5=0,"",SUMPRODUCT(COUNTIF(MovieReviews[내 별점],RatingOptions),RatingScores)/J5)</f>
        <v>2.8333333333333335</v>
      </c>
    </row>
    <row r="7" spans="1:10" ht="16.5" x14ac:dyDescent="0.3">
      <c r="A7" s="13">
        <v>2026</v>
      </c>
      <c r="B7" s="14">
        <f>COUNTIFS(MovieReviews[개봉일],"&gt;="&amp;DATE(A7,1,1),MovieReviews[개봉일],"&lt;"&amp;DATE(A7+1,1,1),MovieReviews[TMDB ID],"&gt;0")</f>
        <v>0</v>
      </c>
      <c r="C7" s="14">
        <f>COUNTIFS(MovieReviews[개봉일],"&gt;="&amp;DATE(A7,1,1),MovieReviews[개봉일],"&lt;"&amp;DATE(A7+1,1,1),MovieReviews[내 별점],"&lt;&gt;")</f>
        <v>0</v>
      </c>
      <c r="D7" s="15" t="str">
        <f>IF(C7=0,"",SUMPRODUCT(COUNTIFS(MovieReviews[개봉일],"&gt;="&amp;DATE(A7,1,1),MovieReviews[개봉일],"&lt;"&amp;DATE(A7+1,1,1),MovieReviews[내 별점],RatingOptions),RatingScores)/C7)</f>
        <v/>
      </c>
      <c r="F7" s="8" t="s">
        <v>47</v>
      </c>
      <c r="G7" s="14">
        <f>COUNTIF(MovieReviews[내 별점],F7)</f>
        <v>0</v>
      </c>
      <c r="I7" s="8" t="s">
        <v>48</v>
      </c>
      <c r="J7" s="14">
        <f>COUNTIFS(MovieReviews[TMDB ID],"&gt;0",MovieReviews[개봉일],"")</f>
        <v>0</v>
      </c>
    </row>
    <row r="8" spans="1:10" ht="16.5" x14ac:dyDescent="0.3">
      <c r="A8" s="13">
        <v>2025</v>
      </c>
      <c r="B8" s="14">
        <f>COUNTIFS(MovieReviews[개봉일],"&gt;="&amp;DATE(A8,1,1),MovieReviews[개봉일],"&lt;"&amp;DATE(A8+1,1,1),MovieReviews[TMDB ID],"&gt;0")</f>
        <v>2</v>
      </c>
      <c r="C8" s="14">
        <f>COUNTIFS(MovieReviews[개봉일],"&gt;="&amp;DATE(A8,1,1),MovieReviews[개봉일],"&lt;"&amp;DATE(A8+1,1,1),MovieReviews[내 별점],"&lt;&gt;")</f>
        <v>2</v>
      </c>
      <c r="D8" s="15">
        <f>IF(C8=0,"",SUMPRODUCT(COUNTIFS(MovieReviews[개봉일],"&gt;="&amp;DATE(A8,1,1),MovieReviews[개봉일],"&lt;"&amp;DATE(A8+1,1,1),MovieReviews[내 별점],RatingOptions),RatingScores)/C8)</f>
        <v>2.75</v>
      </c>
      <c r="F8" s="8" t="s">
        <v>49</v>
      </c>
      <c r="G8" s="14">
        <f>COUNTIF(MovieReviews[내 별점],F8)</f>
        <v>0</v>
      </c>
    </row>
    <row r="9" spans="1:10" ht="16.5" x14ac:dyDescent="0.3">
      <c r="A9" s="13">
        <v>2024</v>
      </c>
      <c r="B9" s="14">
        <f>COUNTIFS(MovieReviews[개봉일],"&gt;="&amp;DATE(A9,1,1),MovieReviews[개봉일],"&lt;"&amp;DATE(A9+1,1,1),MovieReviews[TMDB ID],"&gt;0")</f>
        <v>1</v>
      </c>
      <c r="C9" s="14">
        <f>COUNTIFS(MovieReviews[개봉일],"&gt;="&amp;DATE(A9,1,1),MovieReviews[개봉일],"&lt;"&amp;DATE(A9+1,1,1),MovieReviews[내 별점],"&lt;&gt;")</f>
        <v>1</v>
      </c>
      <c r="D9" s="15">
        <f>IF(C9=0,"",SUMPRODUCT(COUNTIFS(MovieReviews[개봉일],"&gt;="&amp;DATE(A9,1,1),MovieReviews[개봉일],"&lt;"&amp;DATE(A9+1,1,1),MovieReviews[내 별점],RatingOptions),RatingScores)/C9)</f>
        <v>3</v>
      </c>
      <c r="F9" s="8" t="s">
        <v>50</v>
      </c>
      <c r="G9" s="14">
        <f>COUNTIF(MovieReviews[내 별점],F9)</f>
        <v>0</v>
      </c>
    </row>
    <row r="10" spans="1:10" ht="16.5" x14ac:dyDescent="0.3">
      <c r="A10" s="13">
        <v>2023</v>
      </c>
      <c r="B10" s="14">
        <f>COUNTIFS(MovieReviews[개봉일],"&gt;="&amp;DATE(A10,1,1),MovieReviews[개봉일],"&lt;"&amp;DATE(A10+1,1,1),MovieReviews[TMDB ID],"&gt;0")</f>
        <v>0</v>
      </c>
      <c r="C10" s="14">
        <f>COUNTIFS(MovieReviews[개봉일],"&gt;="&amp;DATE(A10,1,1),MovieReviews[개봉일],"&lt;"&amp;DATE(A10+1,1,1),MovieReviews[내 별점],"&lt;&gt;")</f>
        <v>0</v>
      </c>
      <c r="D10" s="15" t="str">
        <f>IF(C10=0,"",SUMPRODUCT(COUNTIFS(MovieReviews[개봉일],"&gt;="&amp;DATE(A10,1,1),MovieReviews[개봉일],"&lt;"&amp;DATE(A10+1,1,1),MovieReviews[내 별점],RatingOptions),RatingScores)/C10)</f>
        <v/>
      </c>
      <c r="F10" s="8" t="s">
        <v>51</v>
      </c>
      <c r="G10" s="14">
        <f>COUNTIF(MovieReviews[내 별점],F10)</f>
        <v>1</v>
      </c>
    </row>
    <row r="11" spans="1:10" ht="16.5" x14ac:dyDescent="0.3">
      <c r="A11" s="13">
        <v>2022</v>
      </c>
      <c r="B11" s="14">
        <f>COUNTIFS(MovieReviews[개봉일],"&gt;="&amp;DATE(A11,1,1),MovieReviews[개봉일],"&lt;"&amp;DATE(A11+1,1,1),MovieReviews[TMDB ID],"&gt;0")</f>
        <v>0</v>
      </c>
      <c r="C11" s="14">
        <f>COUNTIFS(MovieReviews[개봉일],"&gt;="&amp;DATE(A11,1,1),MovieReviews[개봉일],"&lt;"&amp;DATE(A11+1,1,1),MovieReviews[내 별점],"&lt;&gt;")</f>
        <v>0</v>
      </c>
      <c r="D11" s="15" t="str">
        <f>IF(C11=0,"",SUMPRODUCT(COUNTIFS(MovieReviews[개봉일],"&gt;="&amp;DATE(A11,1,1),MovieReviews[개봉일],"&lt;"&amp;DATE(A11+1,1,1),MovieReviews[내 별점],RatingOptions),RatingScores)/C11)</f>
        <v/>
      </c>
      <c r="F11" s="8" t="s">
        <v>52</v>
      </c>
      <c r="G11" s="14">
        <f>COUNTIF(MovieReviews[내 별점],F11)</f>
        <v>0</v>
      </c>
    </row>
    <row r="12" spans="1:10" ht="16.5" x14ac:dyDescent="0.3">
      <c r="A12" s="13">
        <v>2021</v>
      </c>
      <c r="B12" s="14">
        <f>COUNTIFS(MovieReviews[개봉일],"&gt;="&amp;DATE(A12,1,1),MovieReviews[개봉일],"&lt;"&amp;DATE(A12+1,1,1),MovieReviews[TMDB ID],"&gt;0")</f>
        <v>0</v>
      </c>
      <c r="C12" s="14">
        <f>COUNTIFS(MovieReviews[개봉일],"&gt;="&amp;DATE(A12,1,1),MovieReviews[개봉일],"&lt;"&amp;DATE(A12+1,1,1),MovieReviews[내 별점],"&lt;&gt;")</f>
        <v>0</v>
      </c>
      <c r="D12" s="15" t="str">
        <f>IF(C12=0,"",SUMPRODUCT(COUNTIFS(MovieReviews[개봉일],"&gt;="&amp;DATE(A12,1,1),MovieReviews[개봉일],"&lt;"&amp;DATE(A12+1,1,1),MovieReviews[내 별점],RatingOptions),RatingScores)/C12)</f>
        <v/>
      </c>
      <c r="F12" s="8" t="s">
        <v>53</v>
      </c>
      <c r="G12" s="14">
        <f>COUNTIF(MovieReviews[내 별점],F12)</f>
        <v>0</v>
      </c>
    </row>
    <row r="13" spans="1:10" ht="16.5" x14ac:dyDescent="0.3">
      <c r="A13" s="13">
        <v>2020</v>
      </c>
      <c r="B13" s="14">
        <f>COUNTIFS(MovieReviews[개봉일],"&gt;="&amp;DATE(A13,1,1),MovieReviews[개봉일],"&lt;"&amp;DATE(A13+1,1,1),MovieReviews[TMDB ID],"&gt;0")</f>
        <v>0</v>
      </c>
      <c r="C13" s="14">
        <f>COUNTIFS(MovieReviews[개봉일],"&gt;="&amp;DATE(A13,1,1),MovieReviews[개봉일],"&lt;"&amp;DATE(A13+1,1,1),MovieReviews[내 별점],"&lt;&gt;")</f>
        <v>0</v>
      </c>
      <c r="D13" s="15" t="str">
        <f>IF(C13=0,"",SUMPRODUCT(COUNTIFS(MovieReviews[개봉일],"&gt;="&amp;DATE(A13,1,1),MovieReviews[개봉일],"&lt;"&amp;DATE(A13+1,1,1),MovieReviews[내 별점],RatingOptions),RatingScores)/C13)</f>
        <v/>
      </c>
      <c r="F13" s="8" t="s">
        <v>54</v>
      </c>
      <c r="G13" s="14">
        <f>COUNTIF(MovieReviews[내 별점],F13)</f>
        <v>0</v>
      </c>
    </row>
    <row r="14" spans="1:10" ht="16.5" x14ac:dyDescent="0.3">
      <c r="F14" s="8" t="s">
        <v>55</v>
      </c>
      <c r="G14" s="14">
        <f>COUNTIF(MovieReviews[내 별점],F14)</f>
        <v>1</v>
      </c>
    </row>
  </sheetData>
  <mergeCells count="2">
    <mergeCell ref="A1:D1"/>
    <mergeCell ref="A2:J2"/>
  </mergeCells>
  <phoneticPr fontId="5" type="noConversion"/>
  <pageMargins left="0.7" right="0.7" top="0.75" bottom="0.75" header="0.3" footer="0.3"/>
  <pageSetup orientation="portrait" horizontalDpi="4294967295" verticalDpi="429496729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/>
  </sheetViews>
  <sheetFormatPr defaultRowHeight="16.5" x14ac:dyDescent="0.3"/>
  <cols>
    <col min="1" max="1" width="20" customWidth="1"/>
    <col min="2" max="2" width="44" customWidth="1"/>
  </cols>
  <sheetData>
    <row r="1" spans="1:2" ht="24" x14ac:dyDescent="0.45">
      <c r="A1" s="25" t="s">
        <v>56</v>
      </c>
      <c r="B1" s="25"/>
    </row>
    <row r="3" spans="1:2" s="16" customFormat="1" x14ac:dyDescent="0.3">
      <c r="A3" s="17" t="s">
        <v>57</v>
      </c>
      <c r="B3" s="17" t="s">
        <v>58</v>
      </c>
    </row>
    <row r="4" spans="1:2" x14ac:dyDescent="0.3">
      <c r="A4" s="8" t="s">
        <v>59</v>
      </c>
      <c r="B4" s="8" t="s">
        <v>60</v>
      </c>
    </row>
    <row r="5" spans="1:2" x14ac:dyDescent="0.3">
      <c r="A5" s="8" t="s">
        <v>61</v>
      </c>
      <c r="B5" s="8">
        <v>2025</v>
      </c>
    </row>
    <row r="6" spans="1:2" x14ac:dyDescent="0.3">
      <c r="A6" s="8" t="s">
        <v>62</v>
      </c>
      <c r="B6" s="8" t="s">
        <v>63</v>
      </c>
    </row>
    <row r="7" spans="1:2" x14ac:dyDescent="0.3">
      <c r="A7" s="8" t="s">
        <v>64</v>
      </c>
      <c r="B7" s="8" t="s">
        <v>65</v>
      </c>
    </row>
    <row r="8" spans="1:2" x14ac:dyDescent="0.3">
      <c r="A8" s="8" t="s">
        <v>41</v>
      </c>
      <c r="B8" s="8">
        <v>3</v>
      </c>
    </row>
    <row r="9" spans="1:2" x14ac:dyDescent="0.3">
      <c r="A9" s="8" t="s">
        <v>66</v>
      </c>
      <c r="B9" s="8" t="s">
        <v>67</v>
      </c>
    </row>
    <row r="10" spans="1:2" x14ac:dyDescent="0.3">
      <c r="A10" s="8" t="s">
        <v>68</v>
      </c>
      <c r="B10" s="8" t="s">
        <v>69</v>
      </c>
    </row>
    <row r="11" spans="1:2" x14ac:dyDescent="0.3">
      <c r="A11" s="8" t="s">
        <v>70</v>
      </c>
      <c r="B11" s="8" t="s">
        <v>71</v>
      </c>
    </row>
    <row r="12" spans="1:2" x14ac:dyDescent="0.3">
      <c r="A12" s="8" t="s">
        <v>72</v>
      </c>
      <c r="B12" s="18">
        <v>46262.225033252311</v>
      </c>
    </row>
  </sheetData>
  <mergeCells count="1">
    <mergeCell ref="A1:B1"/>
  </mergeCells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6.5" x14ac:dyDescent="0.3"/>
  <sheetData>
    <row r="1" spans="1:3" x14ac:dyDescent="0.3">
      <c r="A1" t="s">
        <v>16</v>
      </c>
      <c r="B1" t="s">
        <v>43</v>
      </c>
      <c r="C1">
        <v>0.5</v>
      </c>
    </row>
    <row r="2" spans="1:3" x14ac:dyDescent="0.3">
      <c r="A2" t="s">
        <v>2</v>
      </c>
      <c r="B2" t="s">
        <v>45</v>
      </c>
      <c r="C2">
        <v>1</v>
      </c>
    </row>
    <row r="3" spans="1:3" x14ac:dyDescent="0.3">
      <c r="B3" t="s">
        <v>47</v>
      </c>
      <c r="C3">
        <v>1.5</v>
      </c>
    </row>
    <row r="4" spans="1:3" x14ac:dyDescent="0.3">
      <c r="B4" t="s">
        <v>49</v>
      </c>
      <c r="C4">
        <v>2</v>
      </c>
    </row>
    <row r="5" spans="1:3" x14ac:dyDescent="0.3">
      <c r="B5" t="s">
        <v>50</v>
      </c>
      <c r="C5">
        <v>2.5</v>
      </c>
    </row>
    <row r="6" spans="1:3" x14ac:dyDescent="0.3">
      <c r="B6" t="s">
        <v>51</v>
      </c>
      <c r="C6">
        <v>3</v>
      </c>
    </row>
    <row r="7" spans="1:3" x14ac:dyDescent="0.3">
      <c r="B7" t="s">
        <v>52</v>
      </c>
      <c r="C7">
        <v>3.5</v>
      </c>
    </row>
    <row r="8" spans="1:3" x14ac:dyDescent="0.3">
      <c r="B8" t="s">
        <v>53</v>
      </c>
      <c r="C8">
        <v>4</v>
      </c>
    </row>
    <row r="9" spans="1:3" x14ac:dyDescent="0.3">
      <c r="B9" t="s">
        <v>54</v>
      </c>
      <c r="C9">
        <v>4.5</v>
      </c>
    </row>
    <row r="10" spans="1:3" x14ac:dyDescent="0.3">
      <c r="B10" t="s">
        <v>55</v>
      </c>
      <c r="C10">
        <v>5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영화목록</vt:lpstr>
      <vt:lpstr>감상기록</vt:lpstr>
      <vt:lpstr>통계</vt:lpstr>
      <vt:lpstr>조회정보</vt:lpstr>
      <vt:lpstr>RatingOptions</vt:lpstr>
      <vt:lpstr>RatingScores</vt:lpstr>
      <vt:lpstr>SelectionOptions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2026-08-28T05:24:02Z</dcterms:created>
  <dcterms:modified xsi:type="dcterms:W3CDTF">2026-08-28T05:24:05Z</dcterms:modified>
  <cp:category/>
</cp:coreProperties>
</file>